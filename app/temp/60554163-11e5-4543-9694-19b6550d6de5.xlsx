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rinaghavi/Desktop/SCOPE 1,2 2024/"/>
    </mc:Choice>
  </mc:AlternateContent>
  <xr:revisionPtr revIDLastSave="0" documentId="8_{00510837-BA8A-8D43-B68C-A6A0E40A0E08}" xr6:coauthVersionLast="47" xr6:coauthVersionMax="47" xr10:uidLastSave="{00000000-0000-0000-0000-000000000000}"/>
  <bookViews>
    <workbookView xWindow="0" yWindow="600" windowWidth="28800" windowHeight="15860" xr2:uid="{2150A5A4-B53E-1542-BF62-90A4E10A5D55}"/>
  </bookViews>
  <sheets>
    <sheet name="Sheet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27" i="1" s="1"/>
  <c r="C26" i="1"/>
  <c r="C25" i="1"/>
  <c r="C24" i="1"/>
  <c r="C23" i="1"/>
  <c r="D23" i="1" s="1"/>
  <c r="C22" i="1"/>
  <c r="C21" i="1"/>
  <c r="D21" i="1" s="1"/>
</calcChain>
</file>

<file path=xl/sharedStrings.xml><?xml version="1.0" encoding="utf-8"?>
<sst xmlns="http://schemas.openxmlformats.org/spreadsheetml/2006/main" count="110" uniqueCount="65">
  <si>
    <t>Scope 1</t>
  </si>
  <si>
    <t>Process/ Fuel type</t>
  </si>
  <si>
    <t>EF 2024</t>
  </si>
  <si>
    <t>Unit</t>
  </si>
  <si>
    <t>Reference</t>
  </si>
  <si>
    <t>Remarks</t>
  </si>
  <si>
    <t>Fuel consumption</t>
  </si>
  <si>
    <t>Natural Gas</t>
  </si>
  <si>
    <r>
      <t>kgCO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e/kWh</t>
    </r>
  </si>
  <si>
    <t>DEFRA 2023</t>
  </si>
  <si>
    <t>Natural Gas (100% mineral blend Net CV)</t>
  </si>
  <si>
    <t>Heating Oil</t>
  </si>
  <si>
    <t>Burning oil, kWh (Net CV)</t>
  </si>
  <si>
    <t>Fuel consumption of fleet</t>
  </si>
  <si>
    <t>Diesel (hybrid-vehicles)</t>
  </si>
  <si>
    <r>
      <t>kgCO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e/l</t>
    </r>
  </si>
  <si>
    <t>Diesel (100% mineral diesel)</t>
  </si>
  <si>
    <t>Petrol (hybrid-vehicles)</t>
  </si>
  <si>
    <t>Petrol (100% mineral petrol)</t>
  </si>
  <si>
    <t>Diesel (large)</t>
  </si>
  <si>
    <t>kgCO2e/km</t>
  </si>
  <si>
    <t>Passenger vehicles - cars by size - Large car - Diesel</t>
  </si>
  <si>
    <t>Hybrid (large)</t>
  </si>
  <si>
    <t>DEFRA 2024</t>
  </si>
  <si>
    <t>Passenger vehicles - cars by size - Large car - Hybrid</t>
  </si>
  <si>
    <t>Petrol (large)</t>
  </si>
  <si>
    <t>Passenger vehicles - cars by size - Large car - Petrol</t>
  </si>
  <si>
    <t>Hybrid (average)</t>
  </si>
  <si>
    <t>Passenger vehicles - cars by size - Average car - Hybrid</t>
  </si>
  <si>
    <t>Biofuels</t>
  </si>
  <si>
    <t>Wood-Pellets</t>
  </si>
  <si>
    <r>
      <t>kgCO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e/t</t>
    </r>
  </si>
  <si>
    <t>Scope 2</t>
  </si>
  <si>
    <t>Electricity consumption</t>
  </si>
  <si>
    <t>EF 2025</t>
  </si>
  <si>
    <t xml:space="preserve">Reference only Residual mix </t>
  </si>
  <si>
    <t xml:space="preserve">Source for AIB refrence 2025 </t>
  </si>
  <si>
    <t>source : https://www.aib-net.org/facts/european-residual-mix/2024?utm_source=chatgpt.com</t>
  </si>
  <si>
    <t>market-based</t>
  </si>
  <si>
    <t>Supplier Mix-DE</t>
  </si>
  <si>
    <t>AIB 2022</t>
  </si>
  <si>
    <t>Residual Mix-DE</t>
  </si>
  <si>
    <t>AIB 2025</t>
  </si>
  <si>
    <t>Supplier Mix-NL</t>
  </si>
  <si>
    <t>Residual Mix-NL</t>
  </si>
  <si>
    <r>
      <t>/!Country has implemented a full disclosure regime where </t>
    </r>
    <r>
      <rPr>
        <i/>
        <sz val="9"/>
        <color theme="1"/>
        <rFont val="Arial"/>
        <family val="2"/>
      </rPr>
      <t>all electricity consumption is tracked with Guarantees of Origin</t>
    </r>
    <r>
      <rPr>
        <sz val="9"/>
        <color theme="1"/>
        <rFont val="Arial"/>
        <family val="2"/>
      </rPr>
      <t>, so AIB does not define a residual mix for NL under this regime</t>
    </r>
  </si>
  <si>
    <t>Supplier Mix-DK</t>
  </si>
  <si>
    <t>Residual Mix-CN</t>
  </si>
  <si>
    <t>Input of Luqom Asia</t>
  </si>
  <si>
    <t>Supplier Mix-PL</t>
  </si>
  <si>
    <t>location-based</t>
  </si>
  <si>
    <t>Grid Mix-DE</t>
  </si>
  <si>
    <t>IEA 2024 version</t>
  </si>
  <si>
    <r>
      <t>including CH</t>
    </r>
    <r>
      <rPr>
        <vertAlign val="subscript"/>
        <sz val="11"/>
        <color theme="1"/>
        <rFont val="Aptos Narrow"/>
        <family val="2"/>
        <scheme val="minor"/>
      </rPr>
      <t>4</t>
    </r>
    <r>
      <rPr>
        <sz val="12"/>
        <color theme="1"/>
        <rFont val="Aptos Narrow"/>
        <family val="2"/>
        <scheme val="minor"/>
      </rPr>
      <t xml:space="preserve"> and N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2"/>
        <color theme="1"/>
        <rFont val="Aptos Narrow"/>
        <family val="2"/>
        <scheme val="minor"/>
      </rPr>
      <t>O</t>
    </r>
  </si>
  <si>
    <t>Grid Mix-NL</t>
  </si>
  <si>
    <t>Source for location based https://eur-lex.europa.eu/legal-content/FR/TXT/HTML/?uri=PI_COM%3AC%282025%294674&amp;utm_source=chatgpt.com</t>
  </si>
  <si>
    <t>Grid Mix-DK</t>
  </si>
  <si>
    <t>Grid Mix-CN</t>
  </si>
  <si>
    <t>Grid Mix-ES</t>
  </si>
  <si>
    <t>District heating</t>
  </si>
  <si>
    <t>EF 2020</t>
  </si>
  <si>
    <t>kgCO2e/kWh</t>
  </si>
  <si>
    <t>GEMIS Fernwärme Heizung DE 2020</t>
  </si>
  <si>
    <t>(excl. construction advance, non-stationary transport)</t>
  </si>
  <si>
    <t>GEMIS Fernwärme Heizung DK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</si>
</sst>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"/>
    <numFmt numFmtId="166" formatCode="0.0000"/>
    <numFmt numFmtId="167" formatCode="??0.0??"/>
  </numFmts>
  <fonts count="7" x14ac:knownFonts="1">
    <font>
      <sz val="12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1" xfId="0" applyFont="1" applyFill="1" applyBorder="1"/>
    <xf numFmtId="0" fontId="3" fillId="4" borderId="1" xfId="0" applyFont="1" applyFill="1" applyBorder="1"/>
    <xf numFmtId="0" fontId="0" fillId="4" borderId="1" xfId="0" applyFill="1" applyBorder="1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1" xfId="0" applyFill="1" applyBorder="1"/>
    <xf numFmtId="164" fontId="0" fillId="2" borderId="1" xfId="0" applyNumberFormat="1" applyFill="1" applyBorder="1" applyProtection="1">
      <protection locked="0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165" fontId="0" fillId="2" borderId="1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0" fontId="5" fillId="2" borderId="1" xfId="0" applyFont="1" applyFill="1" applyBorder="1" applyAlignment="1">
      <alignment wrapText="1"/>
    </xf>
    <xf numFmtId="166" fontId="0" fillId="2" borderId="0" xfId="0" applyNumberFormat="1" applyFill="1"/>
    <xf numFmtId="165" fontId="0" fillId="2" borderId="1" xfId="0" applyNumberFormat="1" applyFill="1" applyBorder="1"/>
    <xf numFmtId="167" fontId="0" fillId="0" borderId="1" xfId="0" applyNumberFormat="1" applyBorder="1" applyAlignment="1" applyProtection="1">
      <alignment wrapText="1"/>
      <protection locked="0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orinaghavi/Desktop/SCOPE%201,2%202024/2025_CCF_Luqom_Scope%201+2_2026.xlsx" TargetMode="External"/><Relationship Id="rId1" Type="http://schemas.openxmlformats.org/officeDocument/2006/relationships/externalLinkPath" Target="2025_CCF_Luqom_Scope%201+2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.2_Results 2025"/>
      <sheetName val="1.2_Results 2024"/>
      <sheetName val="1.2_Results 2023"/>
      <sheetName val="1.1_Results 2022"/>
      <sheetName val="2_CCF_Calculation"/>
      <sheetName val="3.1_Emission Factors_2020"/>
      <sheetName val="3.1_Emission Factors_2022"/>
      <sheetName val="3.2_Emission Factors_2025"/>
      <sheetName val="4.2_Data_Input_QLF"/>
      <sheetName val="4.5_Data_Input_Brumberg"/>
      <sheetName val="4.1.1_Data_Input_Lampenwelt"/>
      <sheetName val="4.4_Data_Input_AL"/>
      <sheetName val="4.1_Data_Input_Lampenwelt"/>
      <sheetName val="Data input Lampenwelt"/>
      <sheetName val="4.3_Data_Input_Lampenmester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2">
          <cell r="F12">
            <v>62864</v>
          </cell>
        </row>
      </sheetData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6DCF-888B-3943-ACB6-5DB0F4F5D7F0}">
  <dimension ref="A1:L36"/>
  <sheetViews>
    <sheetView tabSelected="1" workbookViewId="0">
      <selection activeCell="F17" sqref="F17"/>
    </sheetView>
  </sheetViews>
  <sheetFormatPr baseColWidth="10" defaultRowHeight="16" x14ac:dyDescent="0.2"/>
  <cols>
    <col min="1" max="1" width="10.83203125" style="1"/>
    <col min="2" max="2" width="23.1640625" style="1" customWidth="1"/>
    <col min="3" max="3" width="7.6640625" style="1" hidden="1" customWidth="1"/>
    <col min="4" max="4" width="10.6640625" style="1" bestFit="1" customWidth="1"/>
    <col min="5" max="5" width="12" style="1" bestFit="1" customWidth="1"/>
    <col min="6" max="6" width="38.5" style="1" bestFit="1" customWidth="1"/>
    <col min="7" max="7" width="89.1640625" style="1" customWidth="1"/>
    <col min="8" max="12" width="10.83203125" style="1"/>
  </cols>
  <sheetData>
    <row r="1" spans="2:7" x14ac:dyDescent="0.2">
      <c r="B1"/>
      <c r="C1"/>
      <c r="D1"/>
      <c r="E1"/>
      <c r="F1"/>
      <c r="G1"/>
    </row>
    <row r="2" spans="2:7" ht="19" x14ac:dyDescent="0.25">
      <c r="B2" s="2" t="s">
        <v>0</v>
      </c>
      <c r="C2" s="2"/>
    </row>
    <row r="3" spans="2:7" x14ac:dyDescent="0.2">
      <c r="B3" s="3" t="s">
        <v>1</v>
      </c>
      <c r="C3" s="3"/>
      <c r="D3" s="3" t="s">
        <v>2</v>
      </c>
      <c r="E3" s="3" t="s">
        <v>3</v>
      </c>
      <c r="F3" s="3" t="s">
        <v>4</v>
      </c>
      <c r="G3" s="3" t="s">
        <v>5</v>
      </c>
    </row>
    <row r="4" spans="2:7" x14ac:dyDescent="0.2">
      <c r="B4" s="4" t="s">
        <v>6</v>
      </c>
      <c r="C4" s="4"/>
      <c r="D4" s="5"/>
      <c r="E4" s="5"/>
      <c r="F4" s="5"/>
      <c r="G4" s="5"/>
    </row>
    <row r="5" spans="2:7" ht="17" x14ac:dyDescent="0.25">
      <c r="B5" s="6" t="s">
        <v>7</v>
      </c>
      <c r="C5" s="6"/>
      <c r="D5" s="7">
        <v>0.20399</v>
      </c>
      <c r="E5" s="6" t="s">
        <v>8</v>
      </c>
      <c r="F5" s="8" t="s">
        <v>9</v>
      </c>
      <c r="G5" s="6" t="s">
        <v>10</v>
      </c>
    </row>
    <row r="6" spans="2:7" ht="17" x14ac:dyDescent="0.25">
      <c r="B6" s="6" t="s">
        <v>11</v>
      </c>
      <c r="C6" s="6"/>
      <c r="D6" s="7">
        <v>0.25975352751840003</v>
      </c>
      <c r="E6" s="6" t="s">
        <v>8</v>
      </c>
      <c r="F6" s="8" t="s">
        <v>9</v>
      </c>
      <c r="G6" s="6" t="s">
        <v>12</v>
      </c>
    </row>
    <row r="7" spans="2:7" x14ac:dyDescent="0.2">
      <c r="B7" s="4" t="s">
        <v>13</v>
      </c>
      <c r="C7" s="4"/>
      <c r="D7" s="5"/>
      <c r="E7" s="5"/>
      <c r="F7" s="5"/>
      <c r="G7" s="5"/>
    </row>
    <row r="8" spans="2:7" ht="17" x14ac:dyDescent="0.25">
      <c r="B8" s="6" t="s">
        <v>14</v>
      </c>
      <c r="C8" s="6"/>
      <c r="D8" s="7">
        <v>2.6593717369127514</v>
      </c>
      <c r="E8" s="8" t="s">
        <v>15</v>
      </c>
      <c r="F8" s="8" t="s">
        <v>9</v>
      </c>
      <c r="G8" s="6" t="s">
        <v>16</v>
      </c>
    </row>
    <row r="9" spans="2:7" ht="17" x14ac:dyDescent="0.25">
      <c r="B9" s="6" t="s">
        <v>17</v>
      </c>
      <c r="C9" s="6"/>
      <c r="D9" s="7">
        <v>2.3450253463087245</v>
      </c>
      <c r="E9" s="8" t="s">
        <v>15</v>
      </c>
      <c r="F9" s="8" t="s">
        <v>9</v>
      </c>
      <c r="G9" s="6" t="s">
        <v>18</v>
      </c>
    </row>
    <row r="10" spans="2:7" x14ac:dyDescent="0.2">
      <c r="B10" s="6" t="s">
        <v>19</v>
      </c>
      <c r="C10" s="6"/>
      <c r="D10" s="9">
        <v>0.20858644888053693</v>
      </c>
      <c r="E10" s="8" t="s">
        <v>20</v>
      </c>
      <c r="F10" s="8" t="s">
        <v>9</v>
      </c>
      <c r="G10" s="8" t="s">
        <v>21</v>
      </c>
    </row>
    <row r="11" spans="2:7" x14ac:dyDescent="0.2">
      <c r="B11" s="6" t="s">
        <v>22</v>
      </c>
      <c r="C11" s="6"/>
      <c r="D11" s="9">
        <v>0.15490999999999999</v>
      </c>
      <c r="E11" s="8" t="s">
        <v>20</v>
      </c>
      <c r="F11" s="8" t="s">
        <v>23</v>
      </c>
      <c r="G11" s="8" t="s">
        <v>24</v>
      </c>
    </row>
    <row r="12" spans="2:7" x14ac:dyDescent="0.2">
      <c r="B12" s="6" t="s">
        <v>25</v>
      </c>
      <c r="C12" s="6"/>
      <c r="D12" s="9">
        <v>0.272238534228188</v>
      </c>
      <c r="E12" s="8" t="s">
        <v>20</v>
      </c>
      <c r="F12" s="8" t="s">
        <v>9</v>
      </c>
      <c r="G12" s="8" t="s">
        <v>26</v>
      </c>
    </row>
    <row r="13" spans="2:7" x14ac:dyDescent="0.2">
      <c r="B13" s="6" t="s">
        <v>27</v>
      </c>
      <c r="C13" s="6"/>
      <c r="D13" s="9">
        <v>0.15243580000000001</v>
      </c>
      <c r="E13" s="8" t="s">
        <v>20</v>
      </c>
      <c r="F13" s="8" t="s">
        <v>9</v>
      </c>
      <c r="G13" s="8" t="s">
        <v>28</v>
      </c>
    </row>
    <row r="14" spans="2:7" x14ac:dyDescent="0.2">
      <c r="B14" s="4" t="s">
        <v>29</v>
      </c>
      <c r="C14" s="4"/>
      <c r="D14" s="5"/>
      <c r="E14" s="5"/>
      <c r="F14" s="5"/>
      <c r="G14" s="5"/>
    </row>
    <row r="15" spans="2:7" ht="17" x14ac:dyDescent="0.25">
      <c r="B15" s="6" t="s">
        <v>30</v>
      </c>
      <c r="C15" s="6"/>
      <c r="D15" s="7">
        <v>51.561920000000001</v>
      </c>
      <c r="E15" s="8" t="s">
        <v>31</v>
      </c>
      <c r="F15" s="8" t="s">
        <v>9</v>
      </c>
      <c r="G15" s="6"/>
    </row>
    <row r="18" spans="2:11" ht="19" x14ac:dyDescent="0.25">
      <c r="B18" s="2" t="s">
        <v>32</v>
      </c>
      <c r="C18" s="2"/>
    </row>
    <row r="19" spans="2:11" ht="170" x14ac:dyDescent="0.2">
      <c r="B19" s="3" t="s">
        <v>33</v>
      </c>
      <c r="C19" s="3"/>
      <c r="D19" s="3" t="s">
        <v>34</v>
      </c>
      <c r="E19" s="3" t="s">
        <v>3</v>
      </c>
      <c r="F19" s="3" t="s">
        <v>35</v>
      </c>
      <c r="G19" s="3" t="s">
        <v>5</v>
      </c>
      <c r="I19" s="10" t="s">
        <v>36</v>
      </c>
      <c r="K19" s="11" t="s">
        <v>37</v>
      </c>
    </row>
    <row r="20" spans="2:11" x14ac:dyDescent="0.2">
      <c r="B20" s="4" t="s">
        <v>38</v>
      </c>
      <c r="C20" s="4"/>
      <c r="D20" s="5"/>
      <c r="E20" s="5"/>
      <c r="F20" s="5"/>
      <c r="G20" s="5"/>
    </row>
    <row r="21" spans="2:11" ht="17" x14ac:dyDescent="0.25">
      <c r="B21" s="6" t="s">
        <v>39</v>
      </c>
      <c r="C21" s="6">
        <f>(186.32)</f>
        <v>186.32</v>
      </c>
      <c r="D21" s="12">
        <f>C21/1000</f>
        <v>0.18631999999999999</v>
      </c>
      <c r="E21" s="8" t="s">
        <v>8</v>
      </c>
      <c r="F21" s="8" t="s">
        <v>40</v>
      </c>
      <c r="G21" s="6"/>
    </row>
    <row r="22" spans="2:11" ht="17" x14ac:dyDescent="0.25">
      <c r="B22" s="8" t="s">
        <v>41</v>
      </c>
      <c r="C22" s="8">
        <f>684.03</f>
        <v>684.03</v>
      </c>
      <c r="D22" s="12">
        <v>0.42099999999999999</v>
      </c>
      <c r="E22" s="8" t="s">
        <v>8</v>
      </c>
      <c r="F22" s="8" t="s">
        <v>42</v>
      </c>
      <c r="G22" s="8"/>
    </row>
    <row r="23" spans="2:11" ht="17" x14ac:dyDescent="0.25">
      <c r="B23" s="6" t="s">
        <v>43</v>
      </c>
      <c r="C23" s="6">
        <f>172.93</f>
        <v>172.93</v>
      </c>
      <c r="D23" s="12">
        <f t="shared" ref="D23:D27" si="0">C23/1000</f>
        <v>0.17293</v>
      </c>
      <c r="E23" s="8" t="s">
        <v>8</v>
      </c>
      <c r="F23" s="8" t="s">
        <v>40</v>
      </c>
      <c r="G23" s="8"/>
    </row>
    <row r="24" spans="2:11" ht="28" x14ac:dyDescent="0.25">
      <c r="B24" s="8" t="s">
        <v>44</v>
      </c>
      <c r="C24" s="8">
        <f>438.97</f>
        <v>438.97</v>
      </c>
      <c r="D24" s="13">
        <v>0</v>
      </c>
      <c r="E24" s="8" t="s">
        <v>8</v>
      </c>
      <c r="F24" s="8" t="s">
        <v>42</v>
      </c>
      <c r="G24" s="14" t="s">
        <v>45</v>
      </c>
      <c r="K24" s="15"/>
    </row>
    <row r="25" spans="2:11" ht="17" x14ac:dyDescent="0.25">
      <c r="B25" s="6" t="s">
        <v>46</v>
      </c>
      <c r="C25" s="6">
        <f>331.76</f>
        <v>331.76</v>
      </c>
      <c r="D25" s="12">
        <v>0.19</v>
      </c>
      <c r="E25" s="8" t="s">
        <v>8</v>
      </c>
      <c r="F25" s="8" t="s">
        <v>40</v>
      </c>
      <c r="G25" s="8"/>
    </row>
    <row r="26" spans="2:11" ht="17" x14ac:dyDescent="0.25">
      <c r="B26" s="8" t="s">
        <v>47</v>
      </c>
      <c r="C26" s="8">
        <f>'[1]4.4_Data_Input_AL'!F12/1000</f>
        <v>62.863999999999997</v>
      </c>
      <c r="D26" s="12">
        <v>0.72399999999999998</v>
      </c>
      <c r="E26" s="8" t="s">
        <v>8</v>
      </c>
      <c r="F26" s="8" t="s">
        <v>48</v>
      </c>
      <c r="G26" s="8"/>
    </row>
    <row r="27" spans="2:11" ht="17" x14ac:dyDescent="0.25">
      <c r="B27" s="6" t="s">
        <v>49</v>
      </c>
      <c r="C27" s="6">
        <f>755.63</f>
        <v>755.63</v>
      </c>
      <c r="D27" s="9">
        <f t="shared" si="0"/>
        <v>0.75563000000000002</v>
      </c>
      <c r="E27" s="8" t="s">
        <v>8</v>
      </c>
      <c r="F27" s="8" t="s">
        <v>40</v>
      </c>
      <c r="G27" s="8"/>
    </row>
    <row r="28" spans="2:11" x14ac:dyDescent="0.2">
      <c r="B28" s="4" t="s">
        <v>50</v>
      </c>
      <c r="C28" s="4"/>
      <c r="D28" s="5"/>
      <c r="E28" s="5"/>
      <c r="F28" s="5"/>
      <c r="G28" s="5"/>
    </row>
    <row r="29" spans="2:11" ht="17" x14ac:dyDescent="0.25">
      <c r="B29" s="6" t="s">
        <v>51</v>
      </c>
      <c r="C29" s="6"/>
      <c r="D29" s="16">
        <v>0.34899999999999998</v>
      </c>
      <c r="E29" s="8" t="s">
        <v>8</v>
      </c>
      <c r="F29" s="8" t="s">
        <v>52</v>
      </c>
      <c r="G29" s="6" t="s">
        <v>53</v>
      </c>
    </row>
    <row r="30" spans="2:11" ht="239" x14ac:dyDescent="0.25">
      <c r="B30" s="6" t="s">
        <v>54</v>
      </c>
      <c r="C30" s="6"/>
      <c r="D30" s="16">
        <v>0.28000000000000003</v>
      </c>
      <c r="E30" s="8" t="s">
        <v>8</v>
      </c>
      <c r="F30" s="8" t="s">
        <v>52</v>
      </c>
      <c r="G30" s="6" t="s">
        <v>53</v>
      </c>
      <c r="I30" s="10" t="s">
        <v>55</v>
      </c>
    </row>
    <row r="31" spans="2:11" ht="17" x14ac:dyDescent="0.25">
      <c r="B31" s="6" t="s">
        <v>56</v>
      </c>
      <c r="C31" s="6"/>
      <c r="D31" s="16">
        <v>5.7000000000000002E-2</v>
      </c>
      <c r="E31" s="8" t="s">
        <v>8</v>
      </c>
      <c r="F31" s="8" t="s">
        <v>52</v>
      </c>
      <c r="G31" s="8" t="s">
        <v>53</v>
      </c>
    </row>
    <row r="32" spans="2:11" ht="17" x14ac:dyDescent="0.25">
      <c r="B32" s="6" t="s">
        <v>57</v>
      </c>
      <c r="C32" s="6"/>
      <c r="D32" s="16">
        <v>0.88400000000000001</v>
      </c>
      <c r="E32" s="8" t="s">
        <v>8</v>
      </c>
      <c r="F32" s="8" t="s">
        <v>52</v>
      </c>
      <c r="G32" s="8" t="s">
        <v>53</v>
      </c>
    </row>
    <row r="33" spans="2:7" ht="17" x14ac:dyDescent="0.25">
      <c r="B33" s="6" t="s">
        <v>58</v>
      </c>
      <c r="C33" s="6"/>
      <c r="D33" s="16">
        <v>0.17</v>
      </c>
      <c r="E33" s="8" t="s">
        <v>8</v>
      </c>
      <c r="F33" s="8" t="s">
        <v>52</v>
      </c>
      <c r="G33" s="6" t="s">
        <v>53</v>
      </c>
    </row>
    <row r="34" spans="2:7" x14ac:dyDescent="0.2">
      <c r="B34" s="3" t="s">
        <v>59</v>
      </c>
      <c r="C34" s="3"/>
      <c r="D34" s="3" t="s">
        <v>60</v>
      </c>
      <c r="E34" s="3" t="s">
        <v>3</v>
      </c>
      <c r="F34" s="3" t="s">
        <v>4</v>
      </c>
      <c r="G34" s="3" t="s">
        <v>5</v>
      </c>
    </row>
    <row r="35" spans="2:7" ht="17" x14ac:dyDescent="0.2">
      <c r="B35" s="6" t="s">
        <v>51</v>
      </c>
      <c r="C35" s="6"/>
      <c r="D35" s="17">
        <v>0.1918</v>
      </c>
      <c r="E35" s="18" t="s">
        <v>61</v>
      </c>
      <c r="F35" s="6" t="s">
        <v>62</v>
      </c>
      <c r="G35" s="19" t="s">
        <v>63</v>
      </c>
    </row>
    <row r="36" spans="2:7" ht="17" x14ac:dyDescent="0.2">
      <c r="B36" s="6" t="s">
        <v>56</v>
      </c>
      <c r="C36" s="6"/>
      <c r="D36" s="20">
        <v>0.14138999999999999</v>
      </c>
      <c r="E36" s="18" t="s">
        <v>61</v>
      </c>
      <c r="F36" s="6" t="s">
        <v>64</v>
      </c>
      <c r="G36" s="1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Hori naghavi</dc:creator>
  <cp:lastModifiedBy>Hori naghavi</cp:lastModifiedBy>
  <dcterms:created xsi:type="dcterms:W3CDTF">2026-08-21T08:55:37Z</dcterms:created>
  <dcterms:modified xsi:type="dcterms:W3CDTF">2026-08-21T08:56:02Z</dcterms:modified>
</cp:coreProperties>
</file>